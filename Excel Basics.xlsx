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nus\Downloads\"/>
    </mc:Choice>
  </mc:AlternateContent>
  <xr:revisionPtr revIDLastSave="0" documentId="13_ncr:1_{57A76797-3B4B-4265-B7CA-E8395FDF4E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Question 2" sheetId="2" r:id="rId1"/>
    <sheet name="Question 3" sheetId="3" r:id="rId2"/>
    <sheet name="Question 4 -8" sheetId="1" r:id="rId3"/>
    <sheet name="Question 7" sheetId="4" r:id="rId4"/>
  </sheets>
  <definedNames>
    <definedName name="_xlnm._FilterDatabase" localSheetId="2" hidden="1">'Question 4 -8'!$A$1:$H$51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I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O2" i="1"/>
  <c r="C7" i="3"/>
  <c r="E7" i="2"/>
</calcChain>
</file>

<file path=xl/sharedStrings.xml><?xml version="1.0" encoding="utf-8"?>
<sst xmlns="http://schemas.openxmlformats.org/spreadsheetml/2006/main" count="208" uniqueCount="108">
  <si>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</si>
  <si>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</si>
  <si>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</si>
  <si>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</si>
  <si>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</si>
  <si>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</si>
  <si>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</si>
  <si>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</si>
  <si>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</si>
  <si>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</si>
  <si>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</si>
  <si>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</si>
  <si>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</si>
  <si>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</si>
  <si>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</si>
  <si>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</si>
  <si>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</si>
  <si>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</si>
  <si>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</si>
  <si>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</si>
  <si>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</si>
  <si>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</si>
  <si>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</si>
  <si>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</si>
  <si>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</si>
  <si>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</si>
  <si>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</si>
  <si>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</si>
  <si>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</si>
  <si>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</si>
  <si>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</si>
  <si>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</si>
  <si>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</si>
  <si>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</si>
  <si>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</si>
  <si>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</si>
  <si>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</si>
  <si>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</si>
  <si>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</si>
  <si>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</si>
  <si>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</si>
  <si>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</si>
  <si>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</si>
  <si>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</si>
  <si>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</si>
  <si>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</si>
  <si>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</si>
  <si>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</si>
  <si>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</si>
  <si>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</si>
  <si>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</si>
  <si>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</si>
  <si>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</si>
  <si>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</si>
  <si>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</si>
  <si>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</si>
  <si>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</si>
  <si>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</si>
  <si>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</si>
  <si>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</si>
  <si>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</si>
  <si>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</si>
  <si>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</si>
  <si>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</si>
  <si>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</si>
  <si>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</si>
  <si>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</si>
  <si>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</si>
  <si>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</si>
  <si>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</si>
  <si>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</si>
  <si>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</si>
  <si>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</si>
  <si>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</si>
  <si>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</si>
  <si>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</si>
  <si>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</si>
  <si>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</si>
  <si>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</si>
  <si>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</si>
  <si>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</si>
  <si>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</si>
  <si>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</si>
  <si>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</si>
  <si>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</si>
  <si>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</si>
  <si>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</si>
  <si>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</si>
  <si>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</si>
  <si>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</si>
  <si>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</si>
  <si>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</si>
  <si>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Vehicle</t>
  </si>
  <si>
    <t>Price</t>
  </si>
  <si>
    <t>Car</t>
  </si>
  <si>
    <t>Auto-Rickshaw</t>
  </si>
  <si>
    <t>Bicycle</t>
  </si>
  <si>
    <t>Total Sales</t>
  </si>
  <si>
    <t>Item</t>
  </si>
  <si>
    <t xml:space="preserve">Price </t>
  </si>
  <si>
    <t>Sales</t>
  </si>
  <si>
    <t>Item A</t>
  </si>
  <si>
    <t>Item B</t>
  </si>
  <si>
    <t>Item C</t>
  </si>
  <si>
    <t xml:space="preserve">Ans </t>
  </si>
  <si>
    <t>Total Customer name</t>
  </si>
  <si>
    <t>Total  Sales for North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</si>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</sst>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2" borderId="1" xfId="0" applyFont="1" applyFill="1" applyBorder="1"/>
    <xf numFmtId="0" fontId="0" fillId="2" borderId="1" xfId="0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0" xfId="0" pivotButton="1"/>
    <xf numFmtId="0" fontId="7" fillId="2" borderId="2" xfId="0" applyFont="1" applyFill="1" applyBorder="1"/>
    <xf numFmtId="0" fontId="0" fillId="2" borderId="2" xfId="0" applyFill="1" applyBorder="1"/>
    <xf numFmtId="0" fontId="1" fillId="0" borderId="0" xfId="0" applyFont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4 -8'!$I$1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'Question 4 -8'!$H$2:$H$51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'Question 4 -8'!$I$2:$I$51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3-49B0-B6D6-A73C9DA11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78207"/>
        <c:axId val="372278687"/>
      </c:lineChart>
      <c:catAx>
        <c:axId val="37227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78687"/>
        <c:crosses val="autoZero"/>
        <c:auto val="1"/>
        <c:lblAlgn val="ctr"/>
        <c:lblOffset val="100"/>
        <c:noMultiLvlLbl val="0"/>
      </c:catAx>
      <c:valAx>
        <c:axId val="37227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7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[Dataset.xlsx]Question 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pattFill prst="narHorz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4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'Question 7'!$A$4:$A$8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'Question 7'!$B$4:$B$8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EC0-4E4C-817E-35C9DE16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01762480"/>
        <c:axId val="1501767280"/>
      </c:barChart>
      <c:catAx>
        <c:axId val="150176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67280"/>
        <c:crosses val="autoZero"/>
        <c:auto val="1"/>
        <c:lblAlgn val="ctr"/>
        <c:lblOffset val="100"/>
        <c:noMultiLvlLbl val="0"/>
      </c:catAx>
      <c:valAx>
        <c:axId val="150176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6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5</xdr:row>
      <xdr:rowOff>148590</xdr:rowOff>
    </xdr:from>
    <xdr:to>
      <xdr:col>13</xdr:col>
      <xdr:colOff>1082040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B850D-8337-F5C5-5BC9-4B0551C5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3</xdr:row>
      <xdr:rowOff>95250</xdr:rowOff>
    </xdr:from>
    <xdr:to>
      <xdr:col>26</xdr:col>
      <xdr:colOff>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10A43-154C-E17B-DBCB-43BD0D281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i Dey Sarkar" refreshedDate="45978.376174074074" createdVersion="8" refreshedVersion="8" minRefreshableVersion="3" recordCount="50" xr:uid="{1E8DA993-63A0-4836-BC28-2B548FC320FE}">
  <cacheSource type="worksheet">
    <worksheetSource ref="A1:I51" sheet="Question 4 -8"/>
  </cacheSource>
  <cacheFields count="9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Total Sales" numFmtId="0">
      <sharedItems containsSemiMixedTypes="0" containsString="0" containsNumber="1" containsInteger="1" minValue="90" maxValue="850" count="34">
        <n v="500"/>
        <n v="200"/>
        <n v="375"/>
        <n v="250"/>
        <n v="150"/>
        <n v="600"/>
        <n v="180"/>
        <n v="550"/>
        <n v="400"/>
        <n v="280"/>
        <n v="700"/>
        <n v="300"/>
        <n v="125"/>
        <n v="160"/>
        <n v="450"/>
        <n v="175"/>
        <n v="240"/>
        <n v="140"/>
        <n v="110"/>
        <n v="216"/>
        <n v="650"/>
        <n v="320"/>
        <n v="90"/>
        <n v="176"/>
        <n v="850"/>
        <n v="190"/>
        <n v="192"/>
        <n v="800"/>
        <n v="270"/>
        <n v="525"/>
        <n v="208"/>
        <n v="425"/>
        <n v="95"/>
        <n v="256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s2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x v="0"/>
    <n v="10"/>
    <n v="50"/>
    <d v="2024-05-01T00:00:00"/>
    <n v="500"/>
  </r>
  <r>
    <n v="1002"/>
    <s v="Neha Verma"/>
    <s v="South"/>
    <x v="1"/>
    <x v="1"/>
    <n v="20"/>
    <n v="10"/>
    <d v="2024-06-01T00:00:00"/>
    <n v="200"/>
  </r>
  <r>
    <n v="1003"/>
    <s v="Rahul Singh"/>
    <s v="East"/>
    <x v="2"/>
    <x v="2"/>
    <n v="15"/>
    <n v="25"/>
    <d v="2024-07-01T00:00:00"/>
    <n v="375"/>
  </r>
  <r>
    <n v="1004"/>
    <s v="Pooja Mehta"/>
    <s v="West"/>
    <x v="0"/>
    <x v="3"/>
    <n v="5"/>
    <n v="50"/>
    <d v="2024-08-01T00:00:00"/>
    <n v="250"/>
  </r>
  <r>
    <n v="1005"/>
    <s v="Ankit Jain"/>
    <s v="North"/>
    <x v="3"/>
    <x v="4"/>
    <n v="30"/>
    <n v="5"/>
    <d v="2024-10-01T00:00:00"/>
    <n v="150"/>
  </r>
  <r>
    <n v="1006"/>
    <s v="Sneha Patel"/>
    <s v="South"/>
    <x v="0"/>
    <x v="5"/>
    <n v="12"/>
    <n v="50"/>
    <d v="2024-11-01T00:00:00"/>
    <n v="600"/>
  </r>
  <r>
    <n v="1007"/>
    <s v="Vikas Gupta"/>
    <s v="East"/>
    <x v="4"/>
    <x v="1"/>
    <n v="25"/>
    <n v="8"/>
    <s v="13-01-2024"/>
    <n v="200"/>
  </r>
  <r>
    <n v="1008"/>
    <s v="Meera Nair"/>
    <s v="West"/>
    <x v="1"/>
    <x v="6"/>
    <n v="18"/>
    <n v="10"/>
    <s v="15-01-2024"/>
    <n v="180"/>
  </r>
  <r>
    <n v="1009"/>
    <s v="Anjali Rao"/>
    <s v="North"/>
    <x v="2"/>
    <x v="7"/>
    <n v="22"/>
    <n v="25"/>
    <s v="17-01-2024"/>
    <n v="550"/>
  </r>
  <r>
    <n v="1010"/>
    <s v="Manoj Das"/>
    <s v="South"/>
    <x v="0"/>
    <x v="8"/>
    <n v="8"/>
    <n v="50"/>
    <s v="18-01-2024"/>
    <n v="400"/>
  </r>
  <r>
    <n v="1011"/>
    <s v="Ritika Sen"/>
    <s v="East"/>
    <x v="3"/>
    <x v="1"/>
    <n v="40"/>
    <n v="5"/>
    <s v="19-01-2024"/>
    <n v="200"/>
  </r>
  <r>
    <n v="1012"/>
    <s v="Karan Malhotra"/>
    <s v="West"/>
    <x v="4"/>
    <x v="9"/>
    <n v="35"/>
    <n v="8"/>
    <s v="20-01-2024"/>
    <n v="280"/>
  </r>
  <r>
    <n v="1013"/>
    <s v="Aryan Joshi"/>
    <s v="North"/>
    <x v="0"/>
    <x v="10"/>
    <n v="14"/>
    <n v="50"/>
    <s v="22-01-2024"/>
    <n v="700"/>
  </r>
  <r>
    <n v="1014"/>
    <s v="Divya Kapoor"/>
    <s v="South"/>
    <x v="1"/>
    <x v="9"/>
    <n v="28"/>
    <n v="10"/>
    <s v="23-01-2024"/>
    <n v="280"/>
  </r>
  <r>
    <n v="1015"/>
    <s v="Sahil Arora"/>
    <s v="East"/>
    <x v="2"/>
    <x v="11"/>
    <n v="12"/>
    <n v="25"/>
    <s v="24-01-2024"/>
    <n v="300"/>
  </r>
  <r>
    <n v="1016"/>
    <s v="Muskan Jain"/>
    <s v="West"/>
    <x v="3"/>
    <x v="12"/>
    <n v="25"/>
    <n v="5"/>
    <s v="26-01-2024"/>
    <n v="125"/>
  </r>
  <r>
    <n v="1017"/>
    <s v="Rohan Gupta"/>
    <s v="North"/>
    <x v="4"/>
    <x v="13"/>
    <n v="20"/>
    <n v="8"/>
    <s v="28-01-2024"/>
    <n v="160"/>
  </r>
  <r>
    <n v="1018"/>
    <s v="Nidhi Sharma"/>
    <s v="South"/>
    <x v="0"/>
    <x v="0"/>
    <n v="10"/>
    <n v="50"/>
    <s v="29-01-2024"/>
    <n v="500"/>
  </r>
  <r>
    <n v="1019"/>
    <s v="Tarun Verma"/>
    <s v="East"/>
    <x v="1"/>
    <x v="4"/>
    <n v="15"/>
    <n v="10"/>
    <s v="30-01-2024"/>
    <n v="150"/>
  </r>
  <r>
    <n v="1020"/>
    <s v="Simran Kaur"/>
    <s v="West"/>
    <x v="2"/>
    <x v="14"/>
    <n v="18"/>
    <n v="25"/>
    <d v="2024-01-02T00:00:00"/>
    <n v="450"/>
  </r>
  <r>
    <n v="1021"/>
    <s v="Deepak Rao"/>
    <s v="North"/>
    <x v="0"/>
    <x v="14"/>
    <n v="9"/>
    <n v="50"/>
    <d v="2024-02-02T00:00:00"/>
    <n v="450"/>
  </r>
  <r>
    <n v="1022"/>
    <s v="Payal Mehta"/>
    <s v="South"/>
    <x v="3"/>
    <x v="15"/>
    <n v="35"/>
    <n v="5"/>
    <d v="2024-03-02T00:00:00"/>
    <n v="175"/>
  </r>
  <r>
    <n v="1023"/>
    <s v="Aditya Singh"/>
    <s v="East"/>
    <x v="4"/>
    <x v="16"/>
    <n v="30"/>
    <n v="8"/>
    <d v="2024-04-02T00:00:00"/>
    <n v="240"/>
  </r>
  <r>
    <n v="1024"/>
    <s v="Shreya Nair"/>
    <s v="West"/>
    <x v="0"/>
    <x v="7"/>
    <n v="11"/>
    <n v="50"/>
    <d v="2024-06-02T00:00:00"/>
    <n v="550"/>
  </r>
  <r>
    <n v="1025"/>
    <s v="Sanjay Kumar"/>
    <s v="North"/>
    <x v="1"/>
    <x v="17"/>
    <n v="14"/>
    <n v="10"/>
    <d v="2024-07-02T00:00:00"/>
    <n v="140"/>
  </r>
  <r>
    <n v="1026"/>
    <s v="Aarti Sharma"/>
    <s v="South"/>
    <x v="2"/>
    <x v="8"/>
    <n v="16"/>
    <n v="25"/>
    <d v="2024-08-02T00:00:00"/>
    <n v="400"/>
  </r>
  <r>
    <n v="1027"/>
    <s v="Rajesh Patel"/>
    <s v="East"/>
    <x v="3"/>
    <x v="18"/>
    <n v="22"/>
    <n v="5"/>
    <d v="2024-09-02T00:00:00"/>
    <n v="110"/>
  </r>
  <r>
    <n v="1028"/>
    <s v="Preeti Joshi"/>
    <s v="West"/>
    <x v="4"/>
    <x v="19"/>
    <n v="27"/>
    <n v="8"/>
    <d v="2024-10-02T00:00:00"/>
    <n v="216"/>
  </r>
  <r>
    <n v="1029"/>
    <s v="Anurag Mishra"/>
    <s v="North"/>
    <x v="0"/>
    <x v="20"/>
    <n v="13"/>
    <n v="50"/>
    <d v="2024-12-02T00:00:00"/>
    <n v="650"/>
  </r>
  <r>
    <n v="1030"/>
    <s v="Sanya Kapoor"/>
    <s v="South"/>
    <x v="1"/>
    <x v="21"/>
    <n v="32"/>
    <n v="10"/>
    <s v="13-02-2024"/>
    <n v="320"/>
  </r>
  <r>
    <n v="1031"/>
    <s v="Harsh Yadav"/>
    <s v="East"/>
    <x v="2"/>
    <x v="3"/>
    <n v="10"/>
    <n v="25"/>
    <s v="14-02-2024"/>
    <n v="250"/>
  </r>
  <r>
    <n v="1032"/>
    <s v="Kajal Rani"/>
    <s v="West"/>
    <x v="3"/>
    <x v="22"/>
    <n v="18"/>
    <n v="5"/>
    <s v="16-02-2024"/>
    <n v="90"/>
  </r>
  <r>
    <n v="1033"/>
    <s v="Varun Sharma"/>
    <s v="North"/>
    <x v="4"/>
    <x v="23"/>
    <n v="22"/>
    <n v="8"/>
    <s v="17-02-2024"/>
    <n v="176"/>
  </r>
  <r>
    <n v="1034"/>
    <s v="Swati Arora"/>
    <s v="South"/>
    <x v="0"/>
    <x v="24"/>
    <n v="17"/>
    <n v="50"/>
    <s v="18-02-2024"/>
    <n v="850"/>
  </r>
  <r>
    <n v="1035"/>
    <s v="Akhil Jain"/>
    <s v="East"/>
    <x v="1"/>
    <x v="25"/>
    <n v="19"/>
    <n v="10"/>
    <s v="19-02-2024"/>
    <n v="190"/>
  </r>
  <r>
    <n v="1036"/>
    <s v="Priyanka Das"/>
    <s v="West"/>
    <x v="2"/>
    <x v="2"/>
    <n v="15"/>
    <n v="25"/>
    <s v="21-02-2024"/>
    <n v="375"/>
  </r>
  <r>
    <n v="1037"/>
    <s v="Ravi Nair"/>
    <s v="North"/>
    <x v="3"/>
    <x v="17"/>
    <n v="28"/>
    <n v="5"/>
    <s v="22-02-2024"/>
    <n v="140"/>
  </r>
  <r>
    <n v="1038"/>
    <s v="Komal Singh"/>
    <s v="South"/>
    <x v="4"/>
    <x v="26"/>
    <n v="24"/>
    <n v="8"/>
    <s v="23-02-2024"/>
    <n v="192"/>
  </r>
  <r>
    <n v="1039"/>
    <s v="Ayesha Khan"/>
    <s v="East"/>
    <x v="0"/>
    <x v="27"/>
    <n v="16"/>
    <n v="50"/>
    <s v="25-02-2024"/>
    <n v="800"/>
  </r>
  <r>
    <n v="1040"/>
    <s v="Arjun Mehta"/>
    <s v="West"/>
    <x v="1"/>
    <x v="28"/>
    <n v="27"/>
    <n v="10"/>
    <s v="26-02-2024"/>
    <n v="270"/>
  </r>
  <r>
    <n v="1041"/>
    <s v="Sonali Gupta"/>
    <s v="North"/>
    <x v="2"/>
    <x v="29"/>
    <n v="21"/>
    <n v="25"/>
    <s v="27-02-2024"/>
    <n v="525"/>
  </r>
  <r>
    <n v="1042"/>
    <s v="Neeraj Kapoor"/>
    <s v="South"/>
    <x v="3"/>
    <x v="4"/>
    <n v="30"/>
    <n v="5"/>
    <s v="28-02-2024"/>
    <n v="150"/>
  </r>
  <r>
    <n v="1043"/>
    <s v="Shruti Sharma"/>
    <s v="East"/>
    <x v="4"/>
    <x v="30"/>
    <n v="26"/>
    <n v="8"/>
    <d v="2024-01-03T00:00:00"/>
    <n v="208"/>
  </r>
  <r>
    <n v="1044"/>
    <s v="Yash Arora"/>
    <s v="West"/>
    <x v="0"/>
    <x v="10"/>
    <n v="14"/>
    <n v="50"/>
    <d v="2024-02-03T00:00:00"/>
    <n v="700"/>
  </r>
  <r>
    <n v="1045"/>
    <s v="Manish Das"/>
    <s v="North"/>
    <x v="1"/>
    <x v="1"/>
    <n v="20"/>
    <n v="10"/>
    <d v="2024-03-03T00:00:00"/>
    <n v="200"/>
  </r>
  <r>
    <n v="1046"/>
    <s v="Rupal Nair"/>
    <s v="South"/>
    <x v="2"/>
    <x v="31"/>
    <n v="17"/>
    <n v="25"/>
    <d v="2024-04-03T00:00:00"/>
    <n v="425"/>
  </r>
  <r>
    <n v="1047"/>
    <s v="Sonia Verma"/>
    <s v="East"/>
    <x v="3"/>
    <x v="32"/>
    <n v="19"/>
    <n v="5"/>
    <d v="2024-05-03T00:00:00"/>
    <n v="95"/>
  </r>
  <r>
    <n v="1048"/>
    <s v="Kunal Singh"/>
    <s v="West"/>
    <x v="4"/>
    <x v="33"/>
    <n v="32"/>
    <n v="8"/>
    <d v="2024-06-03T00:00:00"/>
    <n v="256"/>
  </r>
  <r>
    <n v="1049"/>
    <s v="Ritika Jain"/>
    <s v="North"/>
    <x v="0"/>
    <x v="5"/>
    <n v="12"/>
    <n v="50"/>
    <d v="2024-07-03T00:00:00"/>
    <n v="600"/>
  </r>
  <r>
    <n v="1050"/>
    <s v="Vivek Malhotra"/>
    <s v="South"/>
    <x v="1"/>
    <x v="3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DA371-8755-4E12-BEE8-B44494C2D3C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8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34">
        <item x="22"/>
        <item x="32"/>
        <item x="18"/>
        <item x="12"/>
        <item x="17"/>
        <item x="4"/>
        <item x="13"/>
        <item x="15"/>
        <item x="23"/>
        <item x="6"/>
        <item x="25"/>
        <item x="26"/>
        <item x="1"/>
        <item x="30"/>
        <item x="19"/>
        <item x="16"/>
        <item x="3"/>
        <item x="33"/>
        <item x="28"/>
        <item x="9"/>
        <item x="11"/>
        <item x="21"/>
        <item x="2"/>
        <item x="8"/>
        <item x="31"/>
        <item x="14"/>
        <item x="0"/>
        <item x="29"/>
        <item x="7"/>
        <item x="5"/>
        <item x="20"/>
        <item x="10"/>
        <item x="27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4" baseField="0" baseItem="0"/>
  </dataFields>
  <chartFormats count="1">
    <chartFormat chart="0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CF10-9970-4537-9032-56186CF83A6F}">
  <dimension ref="D3:F7"/>
  <sheetViews>
    <sheetView workbookViewId="0">
      <selection activeCell="F11" sqref="F11"/>
    </sheetView>
  </sheetViews>
  <sheetFormatPr defaultRowHeight="13.2" x14ac:dyDescent="0.25"/>
  <cols>
    <col min="1" max="1" width="13.109375" bestFit="1" customWidth="1"/>
    <col min="2" max="2" width="7" bestFit="1" customWidth="1"/>
    <col min="4" max="4" width="20.109375" customWidth="1"/>
    <col min="5" max="5" width="21.109375" customWidth="1"/>
  </cols>
  <sheetData>
    <row r="3" spans="4:6" ht="15.6" x14ac:dyDescent="0.3">
      <c r="D3" s="5" t="s">
        <v>92</v>
      </c>
      <c r="E3" s="5" t="s">
        <v>93</v>
      </c>
      <c r="F3" s="6" t="s">
        <v>4</v>
      </c>
    </row>
    <row r="4" spans="4:6" x14ac:dyDescent="0.25">
      <c r="D4" s="6" t="s">
        <v>94</v>
      </c>
      <c r="E4" s="7">
        <v>500000</v>
      </c>
      <c r="F4" s="7">
        <v>1</v>
      </c>
    </row>
    <row r="5" spans="4:6" x14ac:dyDescent="0.25">
      <c r="D5" s="6" t="s">
        <v>96</v>
      </c>
      <c r="E5" s="7">
        <v>10500</v>
      </c>
      <c r="F5" s="7">
        <v>1</v>
      </c>
    </row>
    <row r="6" spans="4:6" x14ac:dyDescent="0.25">
      <c r="D6" s="6" t="s">
        <v>95</v>
      </c>
      <c r="E6" s="7">
        <v>25000</v>
      </c>
      <c r="F6" s="7">
        <v>1</v>
      </c>
    </row>
    <row r="7" spans="4:6" x14ac:dyDescent="0.25">
      <c r="D7" s="8" t="s">
        <v>97</v>
      </c>
      <c r="E7" s="9">
        <f>SUM((F4*E4)+(F5*E5))</f>
        <v>510500</v>
      </c>
      <c r="F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6898-0F10-4C9B-9CB1-7B6B0B541F9E}">
  <dimension ref="B3:D7"/>
  <sheetViews>
    <sheetView workbookViewId="0">
      <selection activeCell="H25" sqref="H25"/>
    </sheetView>
  </sheetViews>
  <sheetFormatPr defaultRowHeight="13.2" x14ac:dyDescent="0.25"/>
  <sheetData>
    <row r="3" spans="2:4" x14ac:dyDescent="0.25">
      <c r="B3" s="10" t="s">
        <v>98</v>
      </c>
      <c r="C3" s="10" t="s">
        <v>99</v>
      </c>
      <c r="D3" s="10" t="s">
        <v>100</v>
      </c>
    </row>
    <row r="4" spans="2:4" x14ac:dyDescent="0.25">
      <c r="B4" s="6" t="s">
        <v>101</v>
      </c>
      <c r="C4" s="7">
        <v>90</v>
      </c>
      <c r="D4" s="7">
        <v>1000</v>
      </c>
    </row>
    <row r="5" spans="2:4" x14ac:dyDescent="0.25">
      <c r="B5" s="6" t="s">
        <v>102</v>
      </c>
      <c r="C5" s="7">
        <v>150</v>
      </c>
      <c r="D5" s="7">
        <v>1200</v>
      </c>
    </row>
    <row r="6" spans="2:4" x14ac:dyDescent="0.25">
      <c r="B6" s="6" t="s">
        <v>103</v>
      </c>
      <c r="C6" s="7">
        <v>250</v>
      </c>
      <c r="D6" s="7">
        <v>1500</v>
      </c>
    </row>
    <row r="7" spans="2:4" x14ac:dyDescent="0.25">
      <c r="B7" s="8" t="s">
        <v>104</v>
      </c>
      <c r="C7" s="9">
        <f>AVERAGEIFS(D4:D6,C4:C6,"&gt;100",C4:C6,"&lt;300")</f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3"/>
  <sheetViews>
    <sheetView tabSelected="1" workbookViewId="0">
      <selection activeCell="J5" sqref="J5"/>
    </sheetView>
  </sheetViews>
  <sheetFormatPr defaultColWidth="12.6640625" defaultRowHeight="15.75" customHeight="1" x14ac:dyDescent="0.25"/>
  <cols>
    <col min="9" max="9" width="19.88671875" bestFit="1" customWidth="1"/>
    <col min="10" max="10" width="18.33203125" bestFit="1" customWidth="1"/>
    <col min="12" max="12" width="19.88671875" bestFit="1" customWidth="1"/>
    <col min="14" max="14" width="19.88671875" bestFit="1" customWidth="1"/>
  </cols>
  <sheetData>
    <row r="1" spans="1:1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4" t="s">
        <v>97</v>
      </c>
      <c r="F1" s="1" t="s">
        <v>4</v>
      </c>
      <c r="G1" s="1" t="s">
        <v>5</v>
      </c>
      <c r="H1" s="1" t="s">
        <v>6</v>
      </c>
      <c r="I1" s="17" t="s">
        <v>97</v>
      </c>
      <c r="J1" s="19"/>
      <c r="K1" s="3"/>
      <c r="L1" s="13" t="s">
        <v>106</v>
      </c>
    </row>
    <row r="2" spans="1:15" ht="15.75" customHeight="1" x14ac:dyDescent="0.3">
      <c r="A2" s="2">
        <v>1001</v>
      </c>
      <c r="B2" s="3" t="s">
        <v>7</v>
      </c>
      <c r="C2" s="3" t="s">
        <v>8</v>
      </c>
      <c r="D2" s="3" t="s">
        <v>9</v>
      </c>
      <c r="E2" s="15">
        <f>PRODUCT(F2*G2)</f>
        <v>500</v>
      </c>
      <c r="F2" s="2">
        <v>10</v>
      </c>
      <c r="G2" s="2">
        <v>50</v>
      </c>
      <c r="H2" s="4">
        <v>45413</v>
      </c>
      <c r="I2" s="18">
        <f>PRODUCT(F2*G2)</f>
        <v>500</v>
      </c>
      <c r="J2" s="20"/>
      <c r="K2" s="3"/>
      <c r="L2" s="12">
        <f>SUMIF(C2:C51,"North",I2:I51)</f>
        <v>4941</v>
      </c>
      <c r="N2" s="11" t="s">
        <v>105</v>
      </c>
      <c r="O2" s="12">
        <f>COUNTA(B2:B51)</f>
        <v>50</v>
      </c>
    </row>
    <row r="3" spans="1:15" ht="15.75" customHeight="1" x14ac:dyDescent="0.3">
      <c r="A3" s="2">
        <v>1002</v>
      </c>
      <c r="B3" s="3" t="s">
        <v>10</v>
      </c>
      <c r="C3" s="3" t="s">
        <v>11</v>
      </c>
      <c r="D3" s="3" t="s">
        <v>12</v>
      </c>
      <c r="E3" s="15">
        <f t="shared" ref="E3:E51" si="0">PRODUCT(F3*G3)</f>
        <v>200</v>
      </c>
      <c r="F3" s="2">
        <v>20</v>
      </c>
      <c r="G3" s="2">
        <v>10</v>
      </c>
      <c r="H3" s="4">
        <v>45444</v>
      </c>
      <c r="I3" s="12">
        <f>PRODUCT(F3*G3)</f>
        <v>200</v>
      </c>
      <c r="K3" s="3"/>
    </row>
    <row r="4" spans="1:15" ht="15.75" customHeight="1" x14ac:dyDescent="0.3">
      <c r="A4" s="2">
        <v>1003</v>
      </c>
      <c r="B4" s="3" t="s">
        <v>13</v>
      </c>
      <c r="C4" s="3" t="s">
        <v>14</v>
      </c>
      <c r="D4" s="3" t="s">
        <v>15</v>
      </c>
      <c r="E4" s="15">
        <f t="shared" si="0"/>
        <v>375</v>
      </c>
      <c r="F4" s="2">
        <v>15</v>
      </c>
      <c r="G4" s="2">
        <v>25</v>
      </c>
      <c r="H4" s="4">
        <v>45474</v>
      </c>
      <c r="I4" s="12">
        <f t="shared" ref="I4:I51" si="1">PRODUCT(F4*G4)</f>
        <v>375</v>
      </c>
      <c r="K4" s="3"/>
    </row>
    <row r="5" spans="1:15" ht="15.75" customHeight="1" x14ac:dyDescent="0.3">
      <c r="A5" s="2">
        <v>1004</v>
      </c>
      <c r="B5" s="3" t="s">
        <v>16</v>
      </c>
      <c r="C5" s="3" t="s">
        <v>17</v>
      </c>
      <c r="D5" s="3" t="s">
        <v>9</v>
      </c>
      <c r="E5" s="15">
        <f t="shared" si="0"/>
        <v>250</v>
      </c>
      <c r="F5" s="2">
        <v>5</v>
      </c>
      <c r="G5" s="2">
        <v>50</v>
      </c>
      <c r="H5" s="4">
        <v>45505</v>
      </c>
      <c r="I5" s="12">
        <f t="shared" si="1"/>
        <v>250</v>
      </c>
      <c r="K5" s="3"/>
    </row>
    <row r="6" spans="1:15" ht="15.75" customHeight="1" x14ac:dyDescent="0.3">
      <c r="A6" s="2">
        <v>1005</v>
      </c>
      <c r="B6" s="3" t="s">
        <v>18</v>
      </c>
      <c r="C6" s="3" t="s">
        <v>8</v>
      </c>
      <c r="D6" s="3" t="s">
        <v>19</v>
      </c>
      <c r="E6" s="15">
        <f t="shared" si="0"/>
        <v>150</v>
      </c>
      <c r="F6" s="2">
        <v>30</v>
      </c>
      <c r="G6" s="2">
        <v>5</v>
      </c>
      <c r="H6" s="4">
        <v>45566</v>
      </c>
      <c r="I6" s="12">
        <f t="shared" si="1"/>
        <v>150</v>
      </c>
      <c r="K6" s="3"/>
    </row>
    <row r="7" spans="1:15" ht="15.75" customHeight="1" x14ac:dyDescent="0.3">
      <c r="A7" s="2">
        <v>1006</v>
      </c>
      <c r="B7" s="3" t="s">
        <v>20</v>
      </c>
      <c r="C7" s="3" t="s">
        <v>11</v>
      </c>
      <c r="D7" s="3" t="s">
        <v>9</v>
      </c>
      <c r="E7" s="15">
        <f t="shared" si="0"/>
        <v>600</v>
      </c>
      <c r="F7" s="2">
        <v>12</v>
      </c>
      <c r="G7" s="2">
        <v>50</v>
      </c>
      <c r="H7" s="4">
        <v>45597</v>
      </c>
      <c r="I7" s="12">
        <f t="shared" si="1"/>
        <v>600</v>
      </c>
      <c r="K7" s="3"/>
    </row>
    <row r="8" spans="1:15" ht="15.75" customHeight="1" x14ac:dyDescent="0.3">
      <c r="A8" s="2">
        <v>1007</v>
      </c>
      <c r="B8" s="3" t="s">
        <v>21</v>
      </c>
      <c r="C8" s="3" t="s">
        <v>14</v>
      </c>
      <c r="D8" s="3" t="s">
        <v>22</v>
      </c>
      <c r="E8" s="15">
        <f t="shared" si="0"/>
        <v>200</v>
      </c>
      <c r="F8" s="2">
        <v>25</v>
      </c>
      <c r="G8" s="2">
        <v>8</v>
      </c>
      <c r="H8" s="2" t="s">
        <v>23</v>
      </c>
      <c r="I8" s="12">
        <f t="shared" si="1"/>
        <v>200</v>
      </c>
      <c r="K8" s="3"/>
    </row>
    <row r="9" spans="1:15" ht="15.75" customHeight="1" x14ac:dyDescent="0.3">
      <c r="A9" s="2">
        <v>1008</v>
      </c>
      <c r="B9" s="3" t="s">
        <v>24</v>
      </c>
      <c r="C9" s="3" t="s">
        <v>17</v>
      </c>
      <c r="D9" s="3" t="s">
        <v>12</v>
      </c>
      <c r="E9" s="15">
        <f t="shared" si="0"/>
        <v>180</v>
      </c>
      <c r="F9" s="2">
        <v>18</v>
      </c>
      <c r="G9" s="2">
        <v>10</v>
      </c>
      <c r="H9" s="2" t="s">
        <v>25</v>
      </c>
      <c r="I9" s="12">
        <f t="shared" si="1"/>
        <v>180</v>
      </c>
      <c r="K9" s="3"/>
    </row>
    <row r="10" spans="1:15" ht="15.75" customHeight="1" x14ac:dyDescent="0.3">
      <c r="A10" s="2">
        <v>1009</v>
      </c>
      <c r="B10" s="3" t="s">
        <v>26</v>
      </c>
      <c r="C10" s="3" t="s">
        <v>8</v>
      </c>
      <c r="D10" s="3" t="s">
        <v>15</v>
      </c>
      <c r="E10" s="15">
        <f t="shared" si="0"/>
        <v>550</v>
      </c>
      <c r="F10" s="2">
        <v>22</v>
      </c>
      <c r="G10" s="2">
        <v>25</v>
      </c>
      <c r="H10" s="2" t="s">
        <v>27</v>
      </c>
      <c r="I10" s="12">
        <f t="shared" si="1"/>
        <v>550</v>
      </c>
      <c r="K10" s="3"/>
    </row>
    <row r="11" spans="1:15" ht="15.75" customHeight="1" x14ac:dyDescent="0.3">
      <c r="A11" s="2">
        <v>1010</v>
      </c>
      <c r="B11" s="3" t="s">
        <v>28</v>
      </c>
      <c r="C11" s="3" t="s">
        <v>11</v>
      </c>
      <c r="D11" s="3" t="s">
        <v>9</v>
      </c>
      <c r="E11" s="15">
        <f t="shared" si="0"/>
        <v>400</v>
      </c>
      <c r="F11" s="2">
        <v>8</v>
      </c>
      <c r="G11" s="2">
        <v>50</v>
      </c>
      <c r="H11" s="2" t="s">
        <v>29</v>
      </c>
      <c r="I11" s="12">
        <f t="shared" si="1"/>
        <v>400</v>
      </c>
      <c r="K11" s="3"/>
    </row>
    <row r="12" spans="1:15" ht="15.75" customHeight="1" x14ac:dyDescent="0.3">
      <c r="A12" s="2">
        <v>1011</v>
      </c>
      <c r="B12" s="3" t="s">
        <v>30</v>
      </c>
      <c r="C12" s="3" t="s">
        <v>14</v>
      </c>
      <c r="D12" s="3" t="s">
        <v>19</v>
      </c>
      <c r="E12" s="15">
        <f t="shared" si="0"/>
        <v>200</v>
      </c>
      <c r="F12" s="2">
        <v>40</v>
      </c>
      <c r="G12" s="2">
        <v>5</v>
      </c>
      <c r="H12" s="2" t="s">
        <v>31</v>
      </c>
      <c r="I12" s="12">
        <f t="shared" si="1"/>
        <v>200</v>
      </c>
      <c r="K12" s="3"/>
    </row>
    <row r="13" spans="1:15" ht="15.75" customHeight="1" x14ac:dyDescent="0.3">
      <c r="A13" s="2">
        <v>1012</v>
      </c>
      <c r="B13" s="3" t="s">
        <v>32</v>
      </c>
      <c r="C13" s="3" t="s">
        <v>17</v>
      </c>
      <c r="D13" s="3" t="s">
        <v>22</v>
      </c>
      <c r="E13" s="15">
        <f t="shared" si="0"/>
        <v>280</v>
      </c>
      <c r="F13" s="2">
        <v>35</v>
      </c>
      <c r="G13" s="2">
        <v>8</v>
      </c>
      <c r="H13" s="2" t="s">
        <v>33</v>
      </c>
      <c r="I13" s="12">
        <f t="shared" si="1"/>
        <v>280</v>
      </c>
      <c r="K13" s="3"/>
    </row>
    <row r="14" spans="1:15" ht="15.75" customHeight="1" x14ac:dyDescent="0.3">
      <c r="A14" s="2">
        <v>1013</v>
      </c>
      <c r="B14" s="3" t="s">
        <v>34</v>
      </c>
      <c r="C14" s="3" t="s">
        <v>8</v>
      </c>
      <c r="D14" s="3" t="s">
        <v>9</v>
      </c>
      <c r="E14" s="15">
        <f t="shared" si="0"/>
        <v>700</v>
      </c>
      <c r="F14" s="2">
        <v>14</v>
      </c>
      <c r="G14" s="2">
        <v>50</v>
      </c>
      <c r="H14" s="2" t="s">
        <v>35</v>
      </c>
      <c r="I14" s="12">
        <f t="shared" si="1"/>
        <v>700</v>
      </c>
      <c r="K14" s="3"/>
    </row>
    <row r="15" spans="1:15" ht="15.75" customHeight="1" x14ac:dyDescent="0.3">
      <c r="A15" s="2">
        <v>1014</v>
      </c>
      <c r="B15" s="3" t="s">
        <v>36</v>
      </c>
      <c r="C15" s="3" t="s">
        <v>11</v>
      </c>
      <c r="D15" s="3" t="s">
        <v>12</v>
      </c>
      <c r="E15" s="15">
        <f t="shared" si="0"/>
        <v>280</v>
      </c>
      <c r="F15" s="2">
        <v>28</v>
      </c>
      <c r="G15" s="2">
        <v>10</v>
      </c>
      <c r="H15" s="2" t="s">
        <v>37</v>
      </c>
      <c r="I15" s="12">
        <f t="shared" si="1"/>
        <v>280</v>
      </c>
      <c r="K15" s="3"/>
    </row>
    <row r="16" spans="1:15" ht="15.75" customHeight="1" x14ac:dyDescent="0.3">
      <c r="A16" s="2">
        <v>1015</v>
      </c>
      <c r="B16" s="3" t="s">
        <v>38</v>
      </c>
      <c r="C16" s="3" t="s">
        <v>14</v>
      </c>
      <c r="D16" s="3" t="s">
        <v>15</v>
      </c>
      <c r="E16" s="15">
        <f t="shared" si="0"/>
        <v>300</v>
      </c>
      <c r="F16" s="2">
        <v>12</v>
      </c>
      <c r="G16" s="2">
        <v>25</v>
      </c>
      <c r="H16" s="2" t="s">
        <v>39</v>
      </c>
      <c r="I16" s="12">
        <f t="shared" si="1"/>
        <v>300</v>
      </c>
      <c r="K16" s="3"/>
    </row>
    <row r="17" spans="1:11" ht="15.75" customHeight="1" x14ac:dyDescent="0.3">
      <c r="A17" s="2">
        <v>1016</v>
      </c>
      <c r="B17" s="3" t="s">
        <v>40</v>
      </c>
      <c r="C17" s="3" t="s">
        <v>17</v>
      </c>
      <c r="D17" s="3" t="s">
        <v>19</v>
      </c>
      <c r="E17" s="15">
        <f t="shared" si="0"/>
        <v>125</v>
      </c>
      <c r="F17" s="2">
        <v>25</v>
      </c>
      <c r="G17" s="2">
        <v>5</v>
      </c>
      <c r="H17" s="2" t="s">
        <v>41</v>
      </c>
      <c r="I17" s="12">
        <f t="shared" si="1"/>
        <v>125</v>
      </c>
      <c r="K17" s="3"/>
    </row>
    <row r="18" spans="1:11" ht="15.75" customHeight="1" x14ac:dyDescent="0.3">
      <c r="A18" s="2">
        <v>1017</v>
      </c>
      <c r="B18" s="3" t="s">
        <v>42</v>
      </c>
      <c r="C18" s="3" t="s">
        <v>8</v>
      </c>
      <c r="D18" s="3" t="s">
        <v>22</v>
      </c>
      <c r="E18" s="15">
        <f t="shared" si="0"/>
        <v>160</v>
      </c>
      <c r="F18" s="2">
        <v>20</v>
      </c>
      <c r="G18" s="2">
        <v>8</v>
      </c>
      <c r="H18" s="2" t="s">
        <v>43</v>
      </c>
      <c r="I18" s="12">
        <f t="shared" si="1"/>
        <v>160</v>
      </c>
      <c r="K18" s="3"/>
    </row>
    <row r="19" spans="1:11" ht="15.75" customHeight="1" x14ac:dyDescent="0.3">
      <c r="A19" s="2">
        <v>1018</v>
      </c>
      <c r="B19" s="3" t="s">
        <v>44</v>
      </c>
      <c r="C19" s="3" t="s">
        <v>11</v>
      </c>
      <c r="D19" s="3" t="s">
        <v>9</v>
      </c>
      <c r="E19" s="15">
        <f t="shared" si="0"/>
        <v>500</v>
      </c>
      <c r="F19" s="2">
        <v>10</v>
      </c>
      <c r="G19" s="2">
        <v>50</v>
      </c>
      <c r="H19" s="2" t="s">
        <v>45</v>
      </c>
      <c r="I19" s="12">
        <f t="shared" si="1"/>
        <v>500</v>
      </c>
      <c r="K19" s="3"/>
    </row>
    <row r="20" spans="1:11" ht="15.75" customHeight="1" x14ac:dyDescent="0.3">
      <c r="A20" s="2">
        <v>1019</v>
      </c>
      <c r="B20" s="3" t="s">
        <v>46</v>
      </c>
      <c r="C20" s="3" t="s">
        <v>14</v>
      </c>
      <c r="D20" s="3" t="s">
        <v>12</v>
      </c>
      <c r="E20" s="15">
        <f t="shared" si="0"/>
        <v>150</v>
      </c>
      <c r="F20" s="2">
        <v>15</v>
      </c>
      <c r="G20" s="2">
        <v>10</v>
      </c>
      <c r="H20" s="2" t="s">
        <v>47</v>
      </c>
      <c r="I20" s="12">
        <f t="shared" si="1"/>
        <v>150</v>
      </c>
      <c r="K20" s="3"/>
    </row>
    <row r="21" spans="1:11" ht="15.75" customHeight="1" x14ac:dyDescent="0.3">
      <c r="A21" s="2">
        <v>1020</v>
      </c>
      <c r="B21" s="3" t="s">
        <v>48</v>
      </c>
      <c r="C21" s="3" t="s">
        <v>17</v>
      </c>
      <c r="D21" s="3" t="s">
        <v>15</v>
      </c>
      <c r="E21" s="15">
        <f t="shared" si="0"/>
        <v>450</v>
      </c>
      <c r="F21" s="2">
        <v>18</v>
      </c>
      <c r="G21" s="2">
        <v>25</v>
      </c>
      <c r="H21" s="4">
        <v>45293</v>
      </c>
      <c r="I21" s="12">
        <f t="shared" si="1"/>
        <v>450</v>
      </c>
      <c r="K21" s="3"/>
    </row>
    <row r="22" spans="1:11" ht="15.75" customHeight="1" x14ac:dyDescent="0.3">
      <c r="A22" s="2">
        <v>1021</v>
      </c>
      <c r="B22" s="3" t="s">
        <v>49</v>
      </c>
      <c r="C22" s="3" t="s">
        <v>8</v>
      </c>
      <c r="D22" s="3" t="s">
        <v>9</v>
      </c>
      <c r="E22" s="15">
        <f t="shared" si="0"/>
        <v>450</v>
      </c>
      <c r="F22" s="2">
        <v>9</v>
      </c>
      <c r="G22" s="2">
        <v>50</v>
      </c>
      <c r="H22" s="4">
        <v>45324</v>
      </c>
      <c r="I22" s="12">
        <f t="shared" si="1"/>
        <v>450</v>
      </c>
      <c r="K22" s="3"/>
    </row>
    <row r="23" spans="1:11" ht="15.75" customHeight="1" x14ac:dyDescent="0.3">
      <c r="A23" s="2">
        <v>1022</v>
      </c>
      <c r="B23" s="3" t="s">
        <v>50</v>
      </c>
      <c r="C23" s="3" t="s">
        <v>11</v>
      </c>
      <c r="D23" s="3" t="s">
        <v>19</v>
      </c>
      <c r="E23" s="15">
        <f t="shared" si="0"/>
        <v>175</v>
      </c>
      <c r="F23" s="2">
        <v>35</v>
      </c>
      <c r="G23" s="2">
        <v>5</v>
      </c>
      <c r="H23" s="4">
        <v>45353</v>
      </c>
      <c r="I23" s="12">
        <f t="shared" si="1"/>
        <v>175</v>
      </c>
      <c r="K23" s="3"/>
    </row>
    <row r="24" spans="1:11" ht="15.75" customHeight="1" x14ac:dyDescent="0.3">
      <c r="A24" s="2">
        <v>1023</v>
      </c>
      <c r="B24" s="3" t="s">
        <v>51</v>
      </c>
      <c r="C24" s="3" t="s">
        <v>14</v>
      </c>
      <c r="D24" s="3" t="s">
        <v>22</v>
      </c>
      <c r="E24" s="15">
        <f t="shared" si="0"/>
        <v>240</v>
      </c>
      <c r="F24" s="2">
        <v>30</v>
      </c>
      <c r="G24" s="2">
        <v>8</v>
      </c>
      <c r="H24" s="4">
        <v>45384</v>
      </c>
      <c r="I24" s="12">
        <f t="shared" si="1"/>
        <v>240</v>
      </c>
      <c r="K24" s="3"/>
    </row>
    <row r="25" spans="1:11" ht="15.75" customHeight="1" x14ac:dyDescent="0.3">
      <c r="A25" s="2">
        <v>1024</v>
      </c>
      <c r="B25" s="3" t="s">
        <v>52</v>
      </c>
      <c r="C25" s="3" t="s">
        <v>17</v>
      </c>
      <c r="D25" s="3" t="s">
        <v>9</v>
      </c>
      <c r="E25" s="15">
        <f t="shared" si="0"/>
        <v>550</v>
      </c>
      <c r="F25" s="2">
        <v>11</v>
      </c>
      <c r="G25" s="2">
        <v>50</v>
      </c>
      <c r="H25" s="4">
        <v>45445</v>
      </c>
      <c r="I25" s="12">
        <f t="shared" si="1"/>
        <v>550</v>
      </c>
      <c r="K25" s="3"/>
    </row>
    <row r="26" spans="1:11" ht="15.75" customHeight="1" x14ac:dyDescent="0.3">
      <c r="A26" s="2">
        <v>1025</v>
      </c>
      <c r="B26" s="3" t="s">
        <v>53</v>
      </c>
      <c r="C26" s="3" t="s">
        <v>8</v>
      </c>
      <c r="D26" s="3" t="s">
        <v>12</v>
      </c>
      <c r="E26" s="15">
        <f t="shared" si="0"/>
        <v>140</v>
      </c>
      <c r="F26" s="2">
        <v>14</v>
      </c>
      <c r="G26" s="2">
        <v>10</v>
      </c>
      <c r="H26" s="4">
        <v>45475</v>
      </c>
      <c r="I26" s="12">
        <f t="shared" si="1"/>
        <v>140</v>
      </c>
      <c r="K26" s="3"/>
    </row>
    <row r="27" spans="1:11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15">
        <f t="shared" si="0"/>
        <v>400</v>
      </c>
      <c r="F27" s="2">
        <v>16</v>
      </c>
      <c r="G27" s="2">
        <v>25</v>
      </c>
      <c r="H27" s="4">
        <v>45506</v>
      </c>
      <c r="I27" s="12">
        <f t="shared" si="1"/>
        <v>400</v>
      </c>
      <c r="K27" s="3"/>
    </row>
    <row r="28" spans="1:11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15">
        <f t="shared" si="0"/>
        <v>110</v>
      </c>
      <c r="F28" s="2">
        <v>22</v>
      </c>
      <c r="G28" s="2">
        <v>5</v>
      </c>
      <c r="H28" s="4">
        <v>45537</v>
      </c>
      <c r="I28" s="12">
        <f t="shared" si="1"/>
        <v>110</v>
      </c>
      <c r="K28" s="3"/>
    </row>
    <row r="29" spans="1:11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15">
        <f t="shared" si="0"/>
        <v>216</v>
      </c>
      <c r="F29" s="2">
        <v>27</v>
      </c>
      <c r="G29" s="2">
        <v>8</v>
      </c>
      <c r="H29" s="4">
        <v>45567</v>
      </c>
      <c r="I29" s="12">
        <f t="shared" si="1"/>
        <v>216</v>
      </c>
      <c r="K29" s="3"/>
    </row>
    <row r="30" spans="1:11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15">
        <f t="shared" si="0"/>
        <v>650</v>
      </c>
      <c r="F30" s="2">
        <v>13</v>
      </c>
      <c r="G30" s="2">
        <v>50</v>
      </c>
      <c r="H30" s="4">
        <v>45628</v>
      </c>
      <c r="I30" s="12">
        <f t="shared" si="1"/>
        <v>650</v>
      </c>
      <c r="K30" s="3"/>
    </row>
    <row r="31" spans="1:11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15">
        <f t="shared" si="0"/>
        <v>320</v>
      </c>
      <c r="F31" s="2">
        <v>32</v>
      </c>
      <c r="G31" s="2">
        <v>10</v>
      </c>
      <c r="H31" s="2" t="s">
        <v>59</v>
      </c>
      <c r="I31" s="12">
        <f t="shared" si="1"/>
        <v>320</v>
      </c>
      <c r="K31" s="3"/>
    </row>
    <row r="32" spans="1:11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15">
        <f t="shared" si="0"/>
        <v>250</v>
      </c>
      <c r="F32" s="2">
        <v>10</v>
      </c>
      <c r="G32" s="2">
        <v>25</v>
      </c>
      <c r="H32" s="2" t="s">
        <v>61</v>
      </c>
      <c r="I32" s="12">
        <f t="shared" si="1"/>
        <v>250</v>
      </c>
      <c r="K32" s="3"/>
    </row>
    <row r="33" spans="1:11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15">
        <f t="shared" si="0"/>
        <v>90</v>
      </c>
      <c r="F33" s="2">
        <v>18</v>
      </c>
      <c r="G33" s="2">
        <v>5</v>
      </c>
      <c r="H33" s="2" t="s">
        <v>63</v>
      </c>
      <c r="I33" s="12">
        <f t="shared" si="1"/>
        <v>90</v>
      </c>
      <c r="K33" s="3"/>
    </row>
    <row r="34" spans="1:11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15">
        <f t="shared" si="0"/>
        <v>176</v>
      </c>
      <c r="F34" s="2">
        <v>22</v>
      </c>
      <c r="G34" s="2">
        <v>8</v>
      </c>
      <c r="H34" s="2" t="s">
        <v>65</v>
      </c>
      <c r="I34" s="12">
        <f t="shared" si="1"/>
        <v>176</v>
      </c>
      <c r="K34" s="3"/>
    </row>
    <row r="35" spans="1:11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15">
        <f t="shared" si="0"/>
        <v>850</v>
      </c>
      <c r="F35" s="2">
        <v>17</v>
      </c>
      <c r="G35" s="2">
        <v>50</v>
      </c>
      <c r="H35" s="2" t="s">
        <v>67</v>
      </c>
      <c r="I35" s="12">
        <f t="shared" si="1"/>
        <v>850</v>
      </c>
      <c r="K35" s="3"/>
    </row>
    <row r="36" spans="1:11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15">
        <f t="shared" si="0"/>
        <v>190</v>
      </c>
      <c r="F36" s="2">
        <v>19</v>
      </c>
      <c r="G36" s="2">
        <v>10</v>
      </c>
      <c r="H36" s="2" t="s">
        <v>69</v>
      </c>
      <c r="I36" s="12">
        <f t="shared" si="1"/>
        <v>190</v>
      </c>
      <c r="K36" s="3"/>
    </row>
    <row r="37" spans="1:11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15">
        <f t="shared" si="0"/>
        <v>375</v>
      </c>
      <c r="F37" s="2">
        <v>15</v>
      </c>
      <c r="G37" s="2">
        <v>25</v>
      </c>
      <c r="H37" s="2" t="s">
        <v>71</v>
      </c>
      <c r="I37" s="12">
        <f t="shared" si="1"/>
        <v>375</v>
      </c>
      <c r="K37" s="3"/>
    </row>
    <row r="38" spans="1:11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15">
        <f t="shared" si="0"/>
        <v>140</v>
      </c>
      <c r="F38" s="2">
        <v>28</v>
      </c>
      <c r="G38" s="2">
        <v>5</v>
      </c>
      <c r="H38" s="2" t="s">
        <v>73</v>
      </c>
      <c r="I38" s="12">
        <f t="shared" si="1"/>
        <v>140</v>
      </c>
      <c r="K38" s="3"/>
    </row>
    <row r="39" spans="1:11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15">
        <f t="shared" si="0"/>
        <v>192</v>
      </c>
      <c r="F39" s="2">
        <v>24</v>
      </c>
      <c r="G39" s="2">
        <v>8</v>
      </c>
      <c r="H39" s="2" t="s">
        <v>75</v>
      </c>
      <c r="I39" s="12">
        <f t="shared" si="1"/>
        <v>192</v>
      </c>
      <c r="K39" s="3"/>
    </row>
    <row r="40" spans="1:11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15">
        <f t="shared" si="0"/>
        <v>800</v>
      </c>
      <c r="F40" s="2">
        <v>16</v>
      </c>
      <c r="G40" s="2">
        <v>50</v>
      </c>
      <c r="H40" s="2" t="s">
        <v>77</v>
      </c>
      <c r="I40" s="12">
        <f t="shared" si="1"/>
        <v>800</v>
      </c>
      <c r="K40" s="3"/>
    </row>
    <row r="41" spans="1:11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15">
        <f t="shared" si="0"/>
        <v>270</v>
      </c>
      <c r="F41" s="2">
        <v>27</v>
      </c>
      <c r="G41" s="2">
        <v>10</v>
      </c>
      <c r="H41" s="2" t="s">
        <v>79</v>
      </c>
      <c r="I41" s="12">
        <f t="shared" si="1"/>
        <v>270</v>
      </c>
      <c r="K41" s="3"/>
    </row>
    <row r="42" spans="1:11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15">
        <f t="shared" si="0"/>
        <v>525</v>
      </c>
      <c r="F42" s="2">
        <v>21</v>
      </c>
      <c r="G42" s="2">
        <v>25</v>
      </c>
      <c r="H42" s="2" t="s">
        <v>81</v>
      </c>
      <c r="I42" s="12">
        <f t="shared" si="1"/>
        <v>525</v>
      </c>
      <c r="K42" s="3"/>
    </row>
    <row r="43" spans="1:11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15">
        <f t="shared" si="0"/>
        <v>150</v>
      </c>
      <c r="F43" s="2">
        <v>30</v>
      </c>
      <c r="G43" s="2">
        <v>5</v>
      </c>
      <c r="H43" s="2" t="s">
        <v>83</v>
      </c>
      <c r="I43" s="12">
        <f t="shared" si="1"/>
        <v>150</v>
      </c>
      <c r="K43" s="3"/>
    </row>
    <row r="44" spans="1:11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15">
        <f t="shared" si="0"/>
        <v>208</v>
      </c>
      <c r="F44" s="2">
        <v>26</v>
      </c>
      <c r="G44" s="2">
        <v>8</v>
      </c>
      <c r="H44" s="4">
        <v>45294</v>
      </c>
      <c r="I44" s="12">
        <f t="shared" si="1"/>
        <v>208</v>
      </c>
      <c r="K44" s="3"/>
    </row>
    <row r="45" spans="1:11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15">
        <f t="shared" si="0"/>
        <v>700</v>
      </c>
      <c r="F45" s="2">
        <v>14</v>
      </c>
      <c r="G45" s="2">
        <v>50</v>
      </c>
      <c r="H45" s="4">
        <v>45325</v>
      </c>
      <c r="I45" s="12">
        <f t="shared" si="1"/>
        <v>700</v>
      </c>
      <c r="K45" s="3"/>
    </row>
    <row r="46" spans="1:11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15">
        <f t="shared" si="0"/>
        <v>200</v>
      </c>
      <c r="F46" s="2">
        <v>20</v>
      </c>
      <c r="G46" s="2">
        <v>10</v>
      </c>
      <c r="H46" s="4">
        <v>45354</v>
      </c>
      <c r="I46" s="12">
        <f t="shared" si="1"/>
        <v>200</v>
      </c>
      <c r="K46" s="3"/>
    </row>
    <row r="47" spans="1:11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15">
        <f t="shared" si="0"/>
        <v>425</v>
      </c>
      <c r="F47" s="2">
        <v>17</v>
      </c>
      <c r="G47" s="2">
        <v>25</v>
      </c>
      <c r="H47" s="4">
        <v>45385</v>
      </c>
      <c r="I47" s="12">
        <f t="shared" si="1"/>
        <v>425</v>
      </c>
      <c r="K47" s="3"/>
    </row>
    <row r="48" spans="1:11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15">
        <f t="shared" si="0"/>
        <v>95</v>
      </c>
      <c r="F48" s="2">
        <v>19</v>
      </c>
      <c r="G48" s="2">
        <v>5</v>
      </c>
      <c r="H48" s="4">
        <v>45415</v>
      </c>
      <c r="I48" s="12">
        <f t="shared" si="1"/>
        <v>95</v>
      </c>
      <c r="K48" s="3"/>
    </row>
    <row r="49" spans="1:11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15">
        <f t="shared" si="0"/>
        <v>256</v>
      </c>
      <c r="F49" s="2">
        <v>32</v>
      </c>
      <c r="G49" s="2">
        <v>8</v>
      </c>
      <c r="H49" s="4">
        <v>45446</v>
      </c>
      <c r="I49" s="12">
        <f t="shared" si="1"/>
        <v>256</v>
      </c>
      <c r="K49" s="3"/>
    </row>
    <row r="50" spans="1:11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15">
        <f t="shared" si="0"/>
        <v>600</v>
      </c>
      <c r="F50" s="2">
        <v>12</v>
      </c>
      <c r="G50" s="2">
        <v>50</v>
      </c>
      <c r="H50" s="4">
        <v>45476</v>
      </c>
      <c r="I50" s="12">
        <f t="shared" si="1"/>
        <v>600</v>
      </c>
      <c r="K50" s="3"/>
    </row>
    <row r="51" spans="1:11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15">
        <f t="shared" si="0"/>
        <v>250</v>
      </c>
      <c r="F51" s="2">
        <v>25</v>
      </c>
      <c r="G51" s="2">
        <v>10</v>
      </c>
      <c r="H51" s="4">
        <v>45507</v>
      </c>
      <c r="I51" s="12">
        <f t="shared" si="1"/>
        <v>250</v>
      </c>
    </row>
    <row r="52" spans="1:11" ht="14.4" x14ac:dyDescent="0.3">
      <c r="A52" s="3"/>
      <c r="B52" s="3"/>
      <c r="C52" s="3"/>
      <c r="D52" s="3"/>
      <c r="E52" s="3"/>
      <c r="F52" s="3"/>
      <c r="G52" s="3"/>
      <c r="H52" s="3"/>
    </row>
    <row r="53" spans="1:11" ht="14.4" x14ac:dyDescent="0.3">
      <c r="A53" s="3"/>
      <c r="B53" s="3"/>
      <c r="C53" s="3"/>
      <c r="D53" s="3"/>
      <c r="E53" s="3"/>
      <c r="F53" s="3"/>
      <c r="G53" s="3"/>
      <c r="H53" s="3"/>
    </row>
  </sheetData>
  <autoFilter ref="A1:H51" xr:uid="{00000000-0009-0000-0000-000000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E1F1-FB1B-41F2-ABE0-BEE5E0595364}">
  <dimension ref="A3:B8"/>
  <sheetViews>
    <sheetView workbookViewId="0">
      <selection activeCell="B20" sqref="B20"/>
    </sheetView>
  </sheetViews>
  <sheetFormatPr defaultRowHeight="13.2" x14ac:dyDescent="0.25"/>
  <cols>
    <col min="1" max="1" width="10.21875" bestFit="1" customWidth="1"/>
    <col min="2" max="2" width="17.44140625" bestFit="1" customWidth="1"/>
    <col min="3" max="3" width="3" bestFit="1" customWidth="1"/>
    <col min="4" max="35" width="4" bestFit="1" customWidth="1"/>
  </cols>
  <sheetData>
    <row r="3" spans="1:2" x14ac:dyDescent="0.25">
      <c r="A3" s="16" t="s">
        <v>3</v>
      </c>
      <c r="B3" t="s">
        <v>107</v>
      </c>
    </row>
    <row r="4" spans="1:2" x14ac:dyDescent="0.25">
      <c r="A4" t="s">
        <v>22</v>
      </c>
      <c r="B4">
        <v>1928</v>
      </c>
    </row>
    <row r="5" spans="1:2" x14ac:dyDescent="0.25">
      <c r="A5" t="s">
        <v>15</v>
      </c>
      <c r="B5">
        <v>3650</v>
      </c>
    </row>
    <row r="6" spans="1:2" x14ac:dyDescent="0.25">
      <c r="A6" t="s">
        <v>9</v>
      </c>
      <c r="B6">
        <v>7550</v>
      </c>
    </row>
    <row r="7" spans="1:2" x14ac:dyDescent="0.25">
      <c r="A7" t="s">
        <v>12</v>
      </c>
      <c r="B7">
        <v>2180</v>
      </c>
    </row>
    <row r="8" spans="1:2" x14ac:dyDescent="0.25">
      <c r="A8" t="s">
        <v>19</v>
      </c>
      <c r="B8">
        <v>1235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2</vt:lpstr>
      <vt:lpstr>Question 3</vt:lpstr>
      <vt:lpstr>Question 4 -8</vt:lpstr>
      <vt:lpstr>Question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Tanushri Dey Sarkar</cp:lastModifiedBy>
  <dcterms:modified xsi:type="dcterms:W3CDTF">2025-11-17T07:38:34Z</dcterms:modified>
</cp:coreProperties>
</file>