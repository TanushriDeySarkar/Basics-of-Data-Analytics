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W Data Analyst\"/>
    </mc:Choice>
  </mc:AlternateContent>
  <xr:revisionPtr revIDLastSave="0" documentId="13_ncr:1_{03FDF2A3-402B-48BC-BBB0-967A07A616D8}" xr6:coauthVersionLast="47" xr6:coauthVersionMax="47" xr10:uidLastSave="{00000000-0000-0000-0000-000000000000}"/>
  <bookViews>
    <workbookView xWindow="-108" yWindow="-108" windowWidth="23256" windowHeight="12456" firstSheet="6" activeTab="7" xr2:uid="{112C1374-E874-499A-92CF-4019904569DB}"/>
  </bookViews>
  <sheets>
    <sheet name="Question 1" sheetId="1" r:id="rId1"/>
    <sheet name="Question 2" sheetId="2" r:id="rId2"/>
    <sheet name="Question 3 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8" l="1"/>
  <c r="D3" i="7"/>
  <c r="D2" i="7"/>
  <c r="E3" i="6" l="1"/>
  <c r="E4" i="6"/>
  <c r="E2" i="6"/>
  <c r="D3" i="5"/>
  <c r="E2" i="4"/>
  <c r="D4" i="3"/>
  <c r="D5" i="3"/>
  <c r="D6" i="3"/>
  <c r="D7" i="3"/>
  <c r="D3" i="3"/>
  <c r="E4" i="2"/>
  <c r="E5" i="2"/>
  <c r="E6" i="2"/>
  <c r="E3" i="2"/>
  <c r="D3" i="1" l="1"/>
</calcChain>
</file>

<file path=xl/sharedStrings.xml><?xml version="1.0" encoding="utf-8"?>
<sst xmlns="http://schemas.openxmlformats.org/spreadsheetml/2006/main" count="66" uniqueCount="48">
  <si>
    <t xml:space="preserve">Student's Name </t>
  </si>
  <si>
    <t>Marks</t>
  </si>
  <si>
    <t>Riya</t>
  </si>
  <si>
    <t>Siya</t>
  </si>
  <si>
    <t>Raju</t>
  </si>
  <si>
    <t>Rahul</t>
  </si>
  <si>
    <t>Ram</t>
  </si>
  <si>
    <t>Employee</t>
  </si>
  <si>
    <t>Sales</t>
  </si>
  <si>
    <t>Attendance</t>
  </si>
  <si>
    <t>Arjun</t>
  </si>
  <si>
    <t>Simran</t>
  </si>
  <si>
    <t>Rohit</t>
  </si>
  <si>
    <t>Anjali</t>
  </si>
  <si>
    <t>Result</t>
  </si>
  <si>
    <t>Student Name</t>
  </si>
  <si>
    <t>Raj</t>
  </si>
  <si>
    <t>Neha</t>
  </si>
  <si>
    <t>Vivek</t>
  </si>
  <si>
    <t>Rani</t>
  </si>
  <si>
    <t>Sneha</t>
  </si>
  <si>
    <t>Grade</t>
  </si>
  <si>
    <t>EmpID</t>
  </si>
  <si>
    <t>Name</t>
  </si>
  <si>
    <t>Department</t>
  </si>
  <si>
    <t>E101</t>
  </si>
  <si>
    <t>E102</t>
  </si>
  <si>
    <t>E103</t>
  </si>
  <si>
    <t>E104</t>
  </si>
  <si>
    <t>Sejal</t>
  </si>
  <si>
    <t>Roshni</t>
  </si>
  <si>
    <t>IT</t>
  </si>
  <si>
    <t>HR</t>
  </si>
  <si>
    <t>Finance</t>
  </si>
  <si>
    <t>We  use Vlookup Because it looks a value in the  leftmost column of a table and  then returns a value in the same row from a column we specify.</t>
  </si>
  <si>
    <t>Sales Amount</t>
  </si>
  <si>
    <t>Commission Rate</t>
  </si>
  <si>
    <t xml:space="preserve">Employee Name </t>
  </si>
  <si>
    <t>Leaves Taken</t>
  </si>
  <si>
    <t>Leaves Allowed</t>
  </si>
  <si>
    <t>Alex</t>
  </si>
  <si>
    <t>Bob</t>
  </si>
  <si>
    <t>Anna</t>
  </si>
  <si>
    <t>Salary</t>
  </si>
  <si>
    <t>E105</t>
  </si>
  <si>
    <t>E106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</si>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</sst>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0" xfId="0" applyFont="1" applyFill="1" applyAlignment="1">
      <alignment wrapText="1"/>
    </xf>
    <xf numFmtId="9" fontId="0" fillId="0" borderId="1" xfId="0" applyNumberFormat="1" applyBorder="1" applyAlignment="1">
      <alignment horizontal="center"/>
    </xf>
    <xf numFmtId="9" fontId="0" fillId="2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2183-55A4-4C13-A48A-0563B88D23B6}">
  <dimension ref="B2:D7"/>
  <sheetViews>
    <sheetView workbookViewId="0">
      <selection activeCell="D3" sqref="D3"/>
    </sheetView>
  </sheetViews>
  <sheetFormatPr defaultRowHeight="14.4" x14ac:dyDescent="0.3"/>
  <cols>
    <col min="2" max="2" width="16.44140625" bestFit="1" customWidth="1"/>
  </cols>
  <sheetData>
    <row r="2" spans="2:4" ht="15.6" x14ac:dyDescent="0.3">
      <c r="B2" s="1" t="s">
        <v>0</v>
      </c>
      <c r="C2" s="1" t="s">
        <v>1</v>
      </c>
    </row>
    <row r="3" spans="2:4" x14ac:dyDescent="0.3">
      <c r="B3" s="2" t="s">
        <v>2</v>
      </c>
      <c r="C3" s="2">
        <v>45</v>
      </c>
      <c r="D3" s="3" t="str">
        <f>IF(C3&gt;=40,"Pass","Fail")</f>
        <v>Pass</v>
      </c>
    </row>
    <row r="4" spans="2:4" x14ac:dyDescent="0.3">
      <c r="B4" s="2" t="s">
        <v>3</v>
      </c>
      <c r="C4" s="2">
        <v>72</v>
      </c>
    </row>
    <row r="5" spans="2:4" x14ac:dyDescent="0.3">
      <c r="B5" s="2" t="s">
        <v>4</v>
      </c>
      <c r="C5" s="2">
        <v>55</v>
      </c>
    </row>
    <row r="6" spans="2:4" x14ac:dyDescent="0.3">
      <c r="B6" s="2" t="s">
        <v>5</v>
      </c>
      <c r="C6" s="2">
        <v>80</v>
      </c>
    </row>
    <row r="7" spans="2:4" x14ac:dyDescent="0.3">
      <c r="B7" s="2" t="s">
        <v>6</v>
      </c>
      <c r="C7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5F3D-E994-4DD4-AE0E-8158934BE329}">
  <dimension ref="B2:E6"/>
  <sheetViews>
    <sheetView workbookViewId="0">
      <selection activeCell="H8" sqref="H8"/>
    </sheetView>
  </sheetViews>
  <sheetFormatPr defaultRowHeight="14.4" x14ac:dyDescent="0.3"/>
  <cols>
    <col min="2" max="2" width="10.109375" bestFit="1" customWidth="1"/>
    <col min="4" max="4" width="11.77734375" bestFit="1" customWidth="1"/>
  </cols>
  <sheetData>
    <row r="2" spans="2:5" ht="15.6" x14ac:dyDescent="0.3">
      <c r="B2" s="1" t="s">
        <v>7</v>
      </c>
      <c r="C2" s="1" t="s">
        <v>8</v>
      </c>
      <c r="D2" s="1" t="s">
        <v>9</v>
      </c>
      <c r="E2" s="4" t="s">
        <v>14</v>
      </c>
    </row>
    <row r="3" spans="2:5" x14ac:dyDescent="0.3">
      <c r="B3" s="2" t="s">
        <v>10</v>
      </c>
      <c r="C3" s="2">
        <v>55000</v>
      </c>
      <c r="D3" s="2">
        <v>95</v>
      </c>
      <c r="E3" s="5" t="str">
        <f>IF(AND(C3&gt;40000,D3&gt;=90),"Bonus","No Bonus")</f>
        <v>Bonus</v>
      </c>
    </row>
    <row r="4" spans="2:5" x14ac:dyDescent="0.3">
      <c r="B4" s="2" t="s">
        <v>11</v>
      </c>
      <c r="C4" s="2">
        <v>65000</v>
      </c>
      <c r="D4" s="2">
        <v>85</v>
      </c>
      <c r="E4" s="5" t="str">
        <f t="shared" ref="E4:E6" si="0">IF(AND(C4&gt;40000,D4&gt;=90),"Bonus","No Bonus")</f>
        <v>No Bonus</v>
      </c>
    </row>
    <row r="5" spans="2:5" x14ac:dyDescent="0.3">
      <c r="B5" s="2" t="s">
        <v>12</v>
      </c>
      <c r="C5" s="2">
        <v>30000</v>
      </c>
      <c r="D5" s="2">
        <v>90</v>
      </c>
      <c r="E5" s="5" t="str">
        <f t="shared" si="0"/>
        <v>No Bonus</v>
      </c>
    </row>
    <row r="6" spans="2:5" x14ac:dyDescent="0.3">
      <c r="B6" s="2" t="s">
        <v>13</v>
      </c>
      <c r="C6" s="2">
        <v>25000</v>
      </c>
      <c r="D6" s="2">
        <v>65</v>
      </c>
      <c r="E6" s="5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98DB-6A70-44E1-92D7-E9E21C22BAF9}">
  <dimension ref="B2:D7"/>
  <sheetViews>
    <sheetView workbookViewId="0">
      <selection activeCell="H14" sqref="H14"/>
    </sheetView>
  </sheetViews>
  <sheetFormatPr defaultRowHeight="14.4" x14ac:dyDescent="0.3"/>
  <cols>
    <col min="2" max="2" width="14.44140625" bestFit="1" customWidth="1"/>
  </cols>
  <sheetData>
    <row r="2" spans="2:4" ht="15.6" x14ac:dyDescent="0.3">
      <c r="B2" s="1" t="s">
        <v>15</v>
      </c>
      <c r="C2" s="1" t="s">
        <v>1</v>
      </c>
      <c r="D2" s="5" t="s">
        <v>21</v>
      </c>
    </row>
    <row r="3" spans="2:4" x14ac:dyDescent="0.3">
      <c r="B3" s="2" t="s">
        <v>16</v>
      </c>
      <c r="C3" s="2">
        <v>85</v>
      </c>
      <c r="D3" s="5" t="str">
        <f>IF(C3&gt;=90,"A",IF(C3&gt;=75,"B",IF(C3&gt;=50,"C","Fail")))</f>
        <v>B</v>
      </c>
    </row>
    <row r="4" spans="2:4" x14ac:dyDescent="0.3">
      <c r="B4" s="2" t="s">
        <v>17</v>
      </c>
      <c r="C4" s="2">
        <v>96</v>
      </c>
      <c r="D4" s="5" t="str">
        <f t="shared" ref="D4:D7" si="0">IF(C4&gt;=90,"A",IF(C4&gt;=75,"B",IF(C4&gt;=50,"C","Fail")))</f>
        <v>A</v>
      </c>
    </row>
    <row r="5" spans="2:4" x14ac:dyDescent="0.3">
      <c r="B5" s="2" t="s">
        <v>18</v>
      </c>
      <c r="C5" s="2">
        <v>57</v>
      </c>
      <c r="D5" s="5" t="str">
        <f t="shared" si="0"/>
        <v>C</v>
      </c>
    </row>
    <row r="6" spans="2:4" x14ac:dyDescent="0.3">
      <c r="B6" s="2" t="s">
        <v>19</v>
      </c>
      <c r="C6" s="2">
        <v>92</v>
      </c>
      <c r="D6" s="5" t="str">
        <f t="shared" si="0"/>
        <v>A</v>
      </c>
    </row>
    <row r="7" spans="2:4" x14ac:dyDescent="0.3">
      <c r="B7" s="2" t="s">
        <v>20</v>
      </c>
      <c r="C7" s="2">
        <v>75</v>
      </c>
      <c r="D7" s="5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61E4-22A7-4523-9749-8650AA3E698C}">
  <dimension ref="B1:E8"/>
  <sheetViews>
    <sheetView workbookViewId="0">
      <selection activeCell="E12" sqref="E12"/>
    </sheetView>
  </sheetViews>
  <sheetFormatPr defaultRowHeight="14.4" x14ac:dyDescent="0.3"/>
  <cols>
    <col min="4" max="4" width="12.33203125" bestFit="1" customWidth="1"/>
    <col min="5" max="5" width="63.21875" customWidth="1"/>
  </cols>
  <sheetData>
    <row r="1" spans="2:5" ht="15.6" x14ac:dyDescent="0.3">
      <c r="B1" s="1" t="s">
        <v>22</v>
      </c>
      <c r="C1" s="1" t="s">
        <v>23</v>
      </c>
      <c r="D1" s="1" t="s">
        <v>24</v>
      </c>
    </row>
    <row r="2" spans="2:5" x14ac:dyDescent="0.3">
      <c r="B2" s="2" t="s">
        <v>25</v>
      </c>
      <c r="C2" s="2" t="s">
        <v>4</v>
      </c>
      <c r="D2" s="2" t="s">
        <v>31</v>
      </c>
      <c r="E2" s="5" t="str">
        <f>VLOOKUP(B4,B2:D5,3)</f>
        <v>Finance</v>
      </c>
    </row>
    <row r="3" spans="2:5" x14ac:dyDescent="0.3">
      <c r="B3" s="2" t="s">
        <v>26</v>
      </c>
      <c r="C3" s="2" t="s">
        <v>2</v>
      </c>
      <c r="D3" s="2" t="s">
        <v>32</v>
      </c>
    </row>
    <row r="4" spans="2:5" x14ac:dyDescent="0.3">
      <c r="B4" s="2" t="s">
        <v>27</v>
      </c>
      <c r="C4" s="2" t="s">
        <v>30</v>
      </c>
      <c r="D4" s="2" t="s">
        <v>33</v>
      </c>
    </row>
    <row r="5" spans="2:5" x14ac:dyDescent="0.3">
      <c r="B5" s="2" t="s">
        <v>28</v>
      </c>
      <c r="C5" s="2" t="s">
        <v>29</v>
      </c>
      <c r="D5" s="2" t="s">
        <v>8</v>
      </c>
    </row>
    <row r="8" spans="2:5" ht="28.2" customHeight="1" x14ac:dyDescent="0.3">
      <c r="E8" s="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06AD-90B6-4D80-9BD1-E96478925F7A}">
  <dimension ref="B2:D6"/>
  <sheetViews>
    <sheetView workbookViewId="0">
      <selection activeCell="D8" sqref="D8"/>
    </sheetView>
  </sheetViews>
  <sheetFormatPr defaultRowHeight="14.4" x14ac:dyDescent="0.3"/>
  <cols>
    <col min="2" max="2" width="13.88671875" bestFit="1" customWidth="1"/>
    <col min="3" max="3" width="17.33203125" bestFit="1" customWidth="1"/>
  </cols>
  <sheetData>
    <row r="2" spans="2:4" ht="15.6" x14ac:dyDescent="0.3">
      <c r="B2" s="1" t="s">
        <v>35</v>
      </c>
      <c r="C2" s="1" t="s">
        <v>36</v>
      </c>
      <c r="D2" s="5" t="s">
        <v>14</v>
      </c>
    </row>
    <row r="3" spans="2:4" x14ac:dyDescent="0.3">
      <c r="B3" s="2">
        <v>0</v>
      </c>
      <c r="C3" s="7">
        <v>0.05</v>
      </c>
      <c r="D3" s="8">
        <f>VLOOKUP(45000,B3:C6,2)</f>
        <v>0.1</v>
      </c>
    </row>
    <row r="4" spans="2:4" x14ac:dyDescent="0.3">
      <c r="B4" s="2">
        <v>20000</v>
      </c>
      <c r="C4" s="7">
        <v>0.1</v>
      </c>
    </row>
    <row r="5" spans="2:4" x14ac:dyDescent="0.3">
      <c r="B5" s="2">
        <v>50000</v>
      </c>
      <c r="C5" s="7">
        <v>0.15</v>
      </c>
    </row>
    <row r="6" spans="2:4" x14ac:dyDescent="0.3">
      <c r="B6" s="2">
        <v>80000</v>
      </c>
      <c r="C6" s="7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C88B-CA4D-4999-ABB1-23D35E09860A}">
  <dimension ref="B1:E4"/>
  <sheetViews>
    <sheetView workbookViewId="0">
      <selection activeCell="E10" sqref="E10"/>
    </sheetView>
  </sheetViews>
  <sheetFormatPr defaultRowHeight="14.4" x14ac:dyDescent="0.3"/>
  <cols>
    <col min="2" max="2" width="16.77734375" bestFit="1" customWidth="1"/>
    <col min="3" max="3" width="13.44140625" bestFit="1" customWidth="1"/>
    <col min="4" max="4" width="15.44140625" bestFit="1" customWidth="1"/>
  </cols>
  <sheetData>
    <row r="1" spans="2:5" ht="15.6" x14ac:dyDescent="0.3">
      <c r="B1" s="1" t="s">
        <v>37</v>
      </c>
      <c r="C1" s="1" t="s">
        <v>38</v>
      </c>
      <c r="D1" s="1" t="s">
        <v>39</v>
      </c>
      <c r="E1" s="9" t="s">
        <v>14</v>
      </c>
    </row>
    <row r="2" spans="2:5" x14ac:dyDescent="0.3">
      <c r="B2" s="2" t="s">
        <v>40</v>
      </c>
      <c r="C2" s="2">
        <v>10</v>
      </c>
      <c r="D2" s="2">
        <v>12</v>
      </c>
      <c r="E2" s="5" t="str">
        <f>IF(C2&gt;D2,"Exceeded","Ok")</f>
        <v>Ok</v>
      </c>
    </row>
    <row r="3" spans="2:5" x14ac:dyDescent="0.3">
      <c r="B3" s="2" t="s">
        <v>41</v>
      </c>
      <c r="C3" s="2">
        <v>10</v>
      </c>
      <c r="D3" s="2">
        <v>15</v>
      </c>
      <c r="E3" s="5" t="str">
        <f t="shared" ref="E3:E4" si="0">IF(C3&gt;D3,"Exceeded","Ok")</f>
        <v>Ok</v>
      </c>
    </row>
    <row r="4" spans="2:5" x14ac:dyDescent="0.3">
      <c r="B4" s="2" t="s">
        <v>42</v>
      </c>
      <c r="C4" s="2">
        <v>8</v>
      </c>
      <c r="D4" s="2">
        <v>12</v>
      </c>
      <c r="E4" s="5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55C2-2BDB-4178-9CAE-1EE5143ED466}">
  <dimension ref="B1:D5"/>
  <sheetViews>
    <sheetView workbookViewId="0">
      <selection activeCell="E3" sqref="E3"/>
    </sheetView>
  </sheetViews>
  <sheetFormatPr defaultRowHeight="14.4" x14ac:dyDescent="0.3"/>
  <sheetData>
    <row r="1" spans="2:4" ht="15.6" x14ac:dyDescent="0.3">
      <c r="B1" s="1" t="s">
        <v>22</v>
      </c>
      <c r="C1" s="1" t="s">
        <v>43</v>
      </c>
    </row>
    <row r="2" spans="2:4" x14ac:dyDescent="0.3">
      <c r="B2" s="2" t="s">
        <v>28</v>
      </c>
      <c r="C2" s="2">
        <v>55000</v>
      </c>
      <c r="D2" s="5">
        <f>INDEX(C2:C5,2)</f>
        <v>72000</v>
      </c>
    </row>
    <row r="3" spans="2:4" x14ac:dyDescent="0.3">
      <c r="B3" s="2" t="s">
        <v>44</v>
      </c>
      <c r="C3" s="2">
        <v>72000</v>
      </c>
      <c r="D3" s="5">
        <f>MATCH(D2,C2:C5,0)</f>
        <v>2</v>
      </c>
    </row>
    <row r="4" spans="2:4" x14ac:dyDescent="0.3">
      <c r="B4" s="2" t="s">
        <v>45</v>
      </c>
      <c r="C4" s="2">
        <v>62000</v>
      </c>
    </row>
    <row r="5" spans="2:4" x14ac:dyDescent="0.3">
      <c r="B5" s="2" t="s">
        <v>26</v>
      </c>
      <c r="C5" s="2"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74AC-5AED-43EC-99EC-0C4A49D789C5}">
  <dimension ref="B1:D5"/>
  <sheetViews>
    <sheetView tabSelected="1" workbookViewId="0">
      <selection activeCell="E7" sqref="E7"/>
    </sheetView>
  </sheetViews>
  <sheetFormatPr defaultRowHeight="14.4" x14ac:dyDescent="0.3"/>
  <sheetData>
    <row r="1" spans="2:4" ht="15.6" x14ac:dyDescent="0.3">
      <c r="B1" s="1" t="s">
        <v>22</v>
      </c>
      <c r="C1" s="1" t="s">
        <v>43</v>
      </c>
      <c r="D1" s="9" t="s">
        <v>14</v>
      </c>
    </row>
    <row r="2" spans="2:4" x14ac:dyDescent="0.3">
      <c r="B2" s="2" t="s">
        <v>25</v>
      </c>
      <c r="C2" s="2" t="s">
        <v>32</v>
      </c>
      <c r="D2" s="9" t="str">
        <f>_xlfn.XLOOKUP(B3,B2:B5,C2:C5)</f>
        <v>IT</v>
      </c>
    </row>
    <row r="3" spans="2:4" x14ac:dyDescent="0.3">
      <c r="B3" s="2" t="s">
        <v>46</v>
      </c>
      <c r="C3" s="2" t="s">
        <v>31</v>
      </c>
    </row>
    <row r="4" spans="2:4" x14ac:dyDescent="0.3">
      <c r="B4" s="2" t="s">
        <v>45</v>
      </c>
      <c r="C4" s="2" t="s">
        <v>8</v>
      </c>
    </row>
    <row r="5" spans="2:4" x14ac:dyDescent="0.3">
      <c r="B5" s="2" t="s">
        <v>47</v>
      </c>
      <c r="C5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 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Tanushri Dey Sarkar</dc:creator>
  <cp:lastModifiedBy>Tanushri Dey Sarkar</cp:lastModifiedBy>
  <dcterms:created xsi:type="dcterms:W3CDTF">2025-11-23T02:55:17Z</dcterms:created>
  <dcterms:modified xsi:type="dcterms:W3CDTF">2025-11-23T07:38:42Z</dcterms:modified>
</cp:coreProperties>
</file>